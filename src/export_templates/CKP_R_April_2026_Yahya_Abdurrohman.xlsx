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ian\Downloads\"/>
    </mc:Choice>
  </mc:AlternateContent>
  <xr:revisionPtr revIDLastSave="0" documentId="13_ncr:1_{51E8BF1F-09EE-458E-A6ED-EA7FB2F305B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49" i="1" l="1"/>
</calcChain>
</file>

<file path=xl/sharedStrings.xml><?xml version="1.0" encoding="utf-8"?>
<sst xmlns="http://schemas.openxmlformats.org/spreadsheetml/2006/main" count="149" uniqueCount="88">
  <si>
    <t>CKP-R</t>
  </si>
  <si>
    <t>CAPAIAN KINERJA PEGAWAI 2026</t>
  </si>
  <si>
    <t>Nama Pegawai</t>
  </si>
  <si>
    <t>: Yahya Abdurrohman, S.Tr.Stat</t>
  </si>
  <si>
    <t>Jabatan</t>
  </si>
  <si>
    <t>: Staf Tim IPJKD &amp; DLS</t>
  </si>
  <si>
    <t>Satker</t>
  </si>
  <si>
    <t>: BPS Kabupaten Penajam Paser Utara</t>
  </si>
  <si>
    <t>Periode</t>
  </si>
  <si>
    <t>: April 2026</t>
  </si>
  <si>
    <t>No</t>
  </si>
  <si>
    <t>Kegiatan</t>
  </si>
  <si>
    <t>Satuan</t>
  </si>
  <si>
    <t>Kuantitas</t>
  </si>
  <si>
    <t>Tingkat 
Kualitas (%)</t>
  </si>
  <si>
    <t>Kode Butir
Kegiatan</t>
  </si>
  <si>
    <t>Angka 
Kredit</t>
  </si>
  <si>
    <t>Keterangan</t>
  </si>
  <si>
    <t>Target</t>
  </si>
  <si>
    <t>Realisasi</t>
  </si>
  <si>
    <t>%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</si>
  <si>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</si>
  <si>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</si>
  <si>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</si>
  <si>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</si>
  <si>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</si>
  <si>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</si>
  <si>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</si>
  <si>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</si>
  <si>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</si>
  <si>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</si>
  <si>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Apel Senin Pagi</t>
  </si>
  <si>
    <t>Apel/Upacara</t>
  </si>
  <si>
    <t>Diskusi dengan tenaga ahli bupati ppu terkait digitalisasi desa</t>
  </si>
  <si>
    <t>Rapat/Koordinasi</t>
  </si>
  <si>
    <t>Gladi Acara FGD Standar Pelayanan Publik &amp; Keterbukaan Informasi Publik serta Sosialisasi Sensus Ekonomi 2026</t>
  </si>
  <si>
    <t>Internalisasi Laporan Hasil Evaluasi (LHE) Tim Penilai Pendahuluan Pembangunan ZI</t>
  </si>
  <si>
    <t>Internalisasi Rekomendasi Kegiatan Statistik (ROMANTIK) 2026</t>
  </si>
  <si>
    <t>Internalisasi SE2026 Tahap 3</t>
  </si>
  <si>
    <t>Koordinasi Desa Cantik dengan Pemerintah Desa/Kelurahan</t>
  </si>
  <si>
    <t>Desa/Kelurahan</t>
  </si>
  <si>
    <t>Koordinasi desa cantik ke kantor desa/kelurahan</t>
  </si>
  <si>
    <t>Kunjungan Kepala BPS Provinsi Kalimantan Timur ke BPS Kabupaten Penajam Paser Utara</t>
  </si>
  <si>
    <t>Rapat Ground Check PBI Tahap 2</t>
  </si>
  <si>
    <t>Rapat Internal Tim Desa Cantik tindak lanjut rakor dengan pemkap</t>
  </si>
  <si>
    <t>Rapat koordinasi desa cantik dengan diskominfo dan pihak terkait</t>
  </si>
  <si>
    <t>Rapat Koordinasi Pembinaan Desa Cantik Tahun 2026</t>
  </si>
  <si>
    <t>Rapat persiapan senam May Day dalam rangka Sosialisasi dan Ngisi Bareng Sensus Ekonomi 2026</t>
  </si>
  <si>
    <t>Zoom Tindak Lanjut Pemanfaatan DTSEN pada Pelayanan PST Provinsi Kalimantan Timur</t>
  </si>
  <si>
    <t>Forum Group Discussion Standar Pelayanan Publik,  Keterbukaan Informasi Publik, dan Sosialisasi Sensus Ekonomi 2026</t>
  </si>
  <si>
    <t>Pengembangan Diri/Pelatihan</t>
  </si>
  <si>
    <t>Menghadiri Launching Nyala Swara Cita (NSC) kolaborasi Esbe dengan Dir. SIS BPS</t>
  </si>
  <si>
    <t>Pelatihan Aplikasi FASIH untuk Ground Check PBI-JK</t>
  </si>
  <si>
    <t>Pembekalan CPNS BPS seluruh Provinsi Kalimantan Timur tahun 2026</t>
  </si>
  <si>
    <t>diskusi kebutuhan pengembangan halo bps ppu dengan subject matter Kepala BPS Kab. PPU</t>
  </si>
  <si>
    <t>Pekerjaan Teknis/Produksi</t>
  </si>
  <si>
    <t>Identifikasi duplikat data prelist sbr</t>
  </si>
  <si>
    <t>Melakukan persiapan dan perencanaan pengembangan aplikasi halo bps ppu</t>
  </si>
  <si>
    <t>membuat konten feed ig untuk pengumuman layanan selama WFH</t>
  </si>
  <si>
    <t>File</t>
  </si>
  <si>
    <t>Membuat program deteksi duplikat dara prelist SBR</t>
  </si>
  <si>
    <t>Membuat program deteksi duplikat data prelist SBR 2026</t>
  </si>
  <si>
    <t>Mendesain banner/spanduk fgd</t>
  </si>
  <si>
    <t>Mendesain Maklumat Pelayanan dan Kompensasi Penerimaan Layanan BPS PPU 2026</t>
  </si>
  <si>
    <t>Lembar</t>
  </si>
  <si>
    <t>Mendesain Spanduk FGD Standar Pelayanan Publik, Keterbukaan Informasi Publik, dan Sosialisasi Sensus Ekonomi 2026</t>
  </si>
  <si>
    <t>pengembangan aplikasi Halo BPS PPU</t>
  </si>
  <si>
    <t>Updating layanan BPS PPU</t>
  </si>
  <si>
    <t>Mengurus kelengkapan administrasi CPNS dan Orientasi CPNS</t>
  </si>
  <si>
    <t>Administrasi/Dokumentasi</t>
  </si>
  <si>
    <t>menyusun notulen rapat pertemuan dengan tenaga ahli bupati ppu</t>
  </si>
  <si>
    <t>Notula</t>
  </si>
  <si>
    <t>Jumat Bergerilya</t>
  </si>
  <si>
    <t>Lain-lain</t>
  </si>
  <si>
    <t>Menyebarkanluaskan konten publisitas SE di media sosial</t>
  </si>
  <si>
    <t>Postingan</t>
  </si>
  <si>
    <t>Perjalanan Dinas Penempatan CPNS</t>
  </si>
  <si>
    <t>Uji Coba Penggunaan CAPI SE2026</t>
  </si>
  <si>
    <t>JUMLAH</t>
  </si>
  <si>
    <t>RATA-RATA</t>
  </si>
  <si>
    <t>CAPAIAN KINERJA PEGAWAI (CKP)</t>
  </si>
  <si>
    <t>Penajam Paser Utara, 30 April 2026</t>
  </si>
  <si>
    <t>Mengetahui,</t>
  </si>
  <si>
    <t>Pegawai</t>
  </si>
  <si>
    <t>Suko Haryono  SST, M.Si</t>
  </si>
  <si>
    <t>Yahya Abdurrohman, S.Tr.Stat</t>
  </si>
  <si>
    <t>NIP. 198405062008011006</t>
  </si>
  <si>
    <t>NIP. 200211062026031003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</si>
</sst>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4F81BD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27">
    <xf numFmtId="0" fontId="0" fillId="2" borderId="0" xfId="0"/>
    <xf numFmtId="0" fontId="0" fillId="2" borderId="0" xfId="0" applyAlignment="1">
      <alignment vertical="center"/>
    </xf>
    <xf numFmtId="0" fontId="0" fillId="2" borderId="0" xfId="0" applyAlignment="1">
      <alignment horizontal="center" vertical="center"/>
    </xf>
    <xf numFmtId="0" fontId="1" fillId="2" borderId="0" xfId="0" applyFont="1" applyAlignment="1">
      <alignment horizontal="center" vertical="center"/>
    </xf>
    <xf numFmtId="0" fontId="2" fillId="2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0" fillId="2" borderId="0" xfId="0" applyNumberFormat="1" applyAlignment="1">
      <alignment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8" fillId="0" borderId="5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7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3" xfId="0" applyFill="1" applyBorder="1"/>
    <xf numFmtId="0" fontId="7" fillId="0" borderId="0" xfId="0" applyFont="1" applyFill="1" applyAlignment="1">
      <alignment horizontal="center" vertical="center" wrapText="1"/>
    </xf>
    <xf numFmtId="0" fontId="0" fillId="2" borderId="0" xfId="0" applyAlignment="1">
      <alignment vertical="center"/>
    </xf>
    <xf numFmtId="0" fontId="6" fillId="2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D59" sqref="D59"/>
    </sheetView>
  </sheetViews>
  <sheetFormatPr defaultRowHeight="14.4" x14ac:dyDescent="0.3"/>
  <cols>
    <col min="1" max="1" width="6.5546875" style="1" customWidth="1"/>
    <col min="2" max="2" width="53.77734375" style="1" customWidth="1"/>
    <col min="3" max="3" width="15" style="1" customWidth="1"/>
    <col min="4" max="5" width="14.5546875" style="1" customWidth="1"/>
    <col min="6" max="6" width="11.109375" style="1" customWidth="1"/>
    <col min="7" max="9" width="17.44140625" style="1" customWidth="1"/>
    <col min="10" max="10" width="16.5546875" style="1" customWidth="1"/>
    <col min="11" max="11" width="9.109375" style="1" customWidth="1"/>
  </cols>
  <sheetData>
    <row r="1" spans="1:10" ht="23.25" customHeight="1" x14ac:dyDescent="0.3">
      <c r="J1" s="6" t="s">
        <v>0</v>
      </c>
    </row>
    <row r="2" spans="1:10" ht="19.5" customHeight="1" x14ac:dyDescent="0.3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x14ac:dyDescent="0.3">
      <c r="B4" s="4" t="s">
        <v>2</v>
      </c>
      <c r="C4" s="1" t="s">
        <v>3</v>
      </c>
    </row>
    <row r="5" spans="1:10" x14ac:dyDescent="0.3">
      <c r="B5" s="4" t="s">
        <v>4</v>
      </c>
      <c r="C5" s="1" t="s">
        <v>5</v>
      </c>
    </row>
    <row r="6" spans="1:10" x14ac:dyDescent="0.3">
      <c r="B6" s="4" t="s">
        <v>6</v>
      </c>
      <c r="C6" s="1" t="s">
        <v>7</v>
      </c>
    </row>
    <row r="7" spans="1:10" x14ac:dyDescent="0.3">
      <c r="B7" s="4" t="s">
        <v>8</v>
      </c>
      <c r="C7" s="1" t="s">
        <v>9</v>
      </c>
    </row>
    <row r="9" spans="1:10" ht="27.75" customHeight="1" x14ac:dyDescent="0.3">
      <c r="A9" s="15" t="s">
        <v>10</v>
      </c>
      <c r="B9" s="15" t="s">
        <v>11</v>
      </c>
      <c r="C9" s="15" t="s">
        <v>12</v>
      </c>
      <c r="D9" s="15" t="s">
        <v>13</v>
      </c>
      <c r="E9" s="21"/>
      <c r="F9" s="22"/>
      <c r="G9" s="20" t="s">
        <v>14</v>
      </c>
      <c r="H9" s="20" t="s">
        <v>15</v>
      </c>
      <c r="I9" s="20" t="s">
        <v>16</v>
      </c>
      <c r="J9" s="15" t="s">
        <v>17</v>
      </c>
    </row>
    <row r="10" spans="1:10" ht="27.75" customHeight="1" x14ac:dyDescent="0.3">
      <c r="A10" s="16"/>
      <c r="B10" s="16"/>
      <c r="C10" s="16"/>
      <c r="D10" s="5" t="s">
        <v>18</v>
      </c>
      <c r="E10" s="5" t="s">
        <v>19</v>
      </c>
      <c r="F10" s="5" t="s">
        <v>20</v>
      </c>
      <c r="G10" s="16"/>
      <c r="H10" s="16"/>
      <c r="I10" s="16"/>
      <c r="J10" s="16"/>
    </row>
    <row r="11" spans="1:10" s="10" customFormat="1" ht="20.25" customHeight="1" x14ac:dyDescent="0.3">
      <c r="A11" s="7" t="s">
        <v>21</v>
      </c>
      <c r="B11" s="7" t="s">
        <v>22</v>
      </c>
      <c r="C11" s="7" t="s">
        <v>23</v>
      </c>
      <c r="D11" s="8" t="s">
        <v>24</v>
      </c>
      <c r="E11" s="8" t="s">
        <v>25</v>
      </c>
      <c r="F11" s="8" t="s">
        <v>26</v>
      </c>
      <c r="G11" s="9" t="s">
        <v>27</v>
      </c>
      <c r="H11" s="7" t="s">
        <v>28</v>
      </c>
      <c r="I11" s="7" t="s">
        <v>29</v>
      </c>
      <c r="J11" s="7" t="s">
        <v>30</v>
      </c>
    </row>
    <row r="12" spans="1:10" ht="24.9" customHeight="1" x14ac:dyDescent="0.3">
      <c r="A12" s="11">
        <v>1</v>
      </c>
      <c r="B12" s="12" t="s">
        <v>31</v>
      </c>
      <c r="C12" s="11" t="s">
        <v>11</v>
      </c>
      <c r="D12" s="11">
        <v>3</v>
      </c>
      <c r="E12" s="11">
        <v>3</v>
      </c>
      <c r="F12" s="11">
        <f t="shared" ref="F12:F47" si="0">IF(D12=0,0,ROUND(E12/D12*100,0))</f>
        <v>100</v>
      </c>
      <c r="G12" s="11">
        <v>100</v>
      </c>
      <c r="H12" s="11"/>
      <c r="I12" s="11"/>
      <c r="J12" s="12" t="s">
        <v>32</v>
      </c>
    </row>
    <row r="13" spans="1:10" ht="24.9" customHeight="1" x14ac:dyDescent="0.3">
      <c r="A13" s="11">
        <v>2</v>
      </c>
      <c r="B13" s="12" t="s">
        <v>33</v>
      </c>
      <c r="C13" s="11" t="s">
        <v>11</v>
      </c>
      <c r="D13" s="11">
        <v>1</v>
      </c>
      <c r="E13" s="11">
        <v>1</v>
      </c>
      <c r="F13" s="11">
        <f t="shared" si="0"/>
        <v>100</v>
      </c>
      <c r="G13" s="11">
        <v>100</v>
      </c>
      <c r="H13" s="11"/>
      <c r="I13" s="11"/>
      <c r="J13" s="12" t="s">
        <v>34</v>
      </c>
    </row>
    <row r="14" spans="1:10" ht="24.9" customHeight="1" x14ac:dyDescent="0.3">
      <c r="A14" s="11">
        <v>3</v>
      </c>
      <c r="B14" s="12" t="s">
        <v>35</v>
      </c>
      <c r="C14" s="11" t="s">
        <v>11</v>
      </c>
      <c r="D14" s="11">
        <v>1</v>
      </c>
      <c r="E14" s="11">
        <v>1</v>
      </c>
      <c r="F14" s="11">
        <f t="shared" si="0"/>
        <v>100</v>
      </c>
      <c r="G14" s="11">
        <v>100</v>
      </c>
      <c r="H14" s="11"/>
      <c r="I14" s="11"/>
      <c r="J14" s="12" t="s">
        <v>34</v>
      </c>
    </row>
    <row r="15" spans="1:10" ht="24.9" customHeight="1" x14ac:dyDescent="0.3">
      <c r="A15" s="11">
        <v>4</v>
      </c>
      <c r="B15" s="12" t="s">
        <v>36</v>
      </c>
      <c r="C15" s="11" t="s">
        <v>11</v>
      </c>
      <c r="D15" s="11">
        <v>1</v>
      </c>
      <c r="E15" s="11">
        <v>1</v>
      </c>
      <c r="F15" s="11">
        <f t="shared" si="0"/>
        <v>100</v>
      </c>
      <c r="G15" s="11">
        <v>100</v>
      </c>
      <c r="H15" s="11"/>
      <c r="I15" s="11"/>
      <c r="J15" s="12" t="s">
        <v>34</v>
      </c>
    </row>
    <row r="16" spans="1:10" ht="24.9" customHeight="1" x14ac:dyDescent="0.3">
      <c r="A16" s="11">
        <v>5</v>
      </c>
      <c r="B16" s="12" t="s">
        <v>37</v>
      </c>
      <c r="C16" s="11" t="s">
        <v>11</v>
      </c>
      <c r="D16" s="11">
        <v>1</v>
      </c>
      <c r="E16" s="11">
        <v>1</v>
      </c>
      <c r="F16" s="11">
        <f t="shared" si="0"/>
        <v>100</v>
      </c>
      <c r="G16" s="11">
        <v>100</v>
      </c>
      <c r="H16" s="11"/>
      <c r="I16" s="11"/>
      <c r="J16" s="12" t="s">
        <v>34</v>
      </c>
    </row>
    <row r="17" spans="1:10" ht="24.9" customHeight="1" x14ac:dyDescent="0.3">
      <c r="A17" s="11">
        <v>6</v>
      </c>
      <c r="B17" s="12" t="s">
        <v>38</v>
      </c>
      <c r="C17" s="11" t="s">
        <v>11</v>
      </c>
      <c r="D17" s="11">
        <v>1</v>
      </c>
      <c r="E17" s="11">
        <v>1</v>
      </c>
      <c r="F17" s="11">
        <f t="shared" si="0"/>
        <v>100</v>
      </c>
      <c r="G17" s="11">
        <v>100</v>
      </c>
      <c r="H17" s="11"/>
      <c r="I17" s="11"/>
      <c r="J17" s="12" t="s">
        <v>34</v>
      </c>
    </row>
    <row r="18" spans="1:10" ht="24.9" customHeight="1" x14ac:dyDescent="0.3">
      <c r="A18" s="11">
        <v>7</v>
      </c>
      <c r="B18" s="12" t="s">
        <v>39</v>
      </c>
      <c r="C18" s="11" t="s">
        <v>40</v>
      </c>
      <c r="D18" s="11">
        <v>3</v>
      </c>
      <c r="E18" s="11">
        <v>3</v>
      </c>
      <c r="F18" s="11">
        <f t="shared" si="0"/>
        <v>100</v>
      </c>
      <c r="G18" s="11">
        <v>100</v>
      </c>
      <c r="H18" s="11"/>
      <c r="I18" s="11"/>
      <c r="J18" s="12" t="s">
        <v>34</v>
      </c>
    </row>
    <row r="19" spans="1:10" ht="24.9" customHeight="1" x14ac:dyDescent="0.3">
      <c r="A19" s="11">
        <v>8</v>
      </c>
      <c r="B19" s="12" t="s">
        <v>41</v>
      </c>
      <c r="C19" s="11" t="s">
        <v>11</v>
      </c>
      <c r="D19" s="11">
        <v>1</v>
      </c>
      <c r="E19" s="11">
        <v>1</v>
      </c>
      <c r="F19" s="11">
        <f t="shared" si="0"/>
        <v>100</v>
      </c>
      <c r="G19" s="11">
        <v>100</v>
      </c>
      <c r="H19" s="11"/>
      <c r="I19" s="11"/>
      <c r="J19" s="12" t="s">
        <v>34</v>
      </c>
    </row>
    <row r="20" spans="1:10" ht="24.9" customHeight="1" x14ac:dyDescent="0.3">
      <c r="A20" s="11">
        <v>9</v>
      </c>
      <c r="B20" s="12" t="s">
        <v>42</v>
      </c>
      <c r="C20" s="11" t="s">
        <v>11</v>
      </c>
      <c r="D20" s="11">
        <v>1</v>
      </c>
      <c r="E20" s="11">
        <v>1</v>
      </c>
      <c r="F20" s="11">
        <f t="shared" si="0"/>
        <v>100</v>
      </c>
      <c r="G20" s="11">
        <v>100</v>
      </c>
      <c r="H20" s="11"/>
      <c r="I20" s="11"/>
      <c r="J20" s="12" t="s">
        <v>34</v>
      </c>
    </row>
    <row r="21" spans="1:10" ht="24.9" customHeight="1" x14ac:dyDescent="0.3">
      <c r="A21" s="11">
        <v>10</v>
      </c>
      <c r="B21" s="12" t="s">
        <v>43</v>
      </c>
      <c r="C21" s="11" t="s">
        <v>11</v>
      </c>
      <c r="D21" s="11">
        <v>1</v>
      </c>
      <c r="E21" s="11">
        <v>1</v>
      </c>
      <c r="F21" s="11">
        <f t="shared" si="0"/>
        <v>100</v>
      </c>
      <c r="G21" s="11">
        <v>100</v>
      </c>
      <c r="H21" s="11"/>
      <c r="I21" s="11"/>
      <c r="J21" s="12" t="s">
        <v>34</v>
      </c>
    </row>
    <row r="22" spans="1:10" ht="24.9" customHeight="1" x14ac:dyDescent="0.3">
      <c r="A22" s="11">
        <v>11</v>
      </c>
      <c r="B22" s="12" t="s">
        <v>44</v>
      </c>
      <c r="C22" s="11" t="s">
        <v>11</v>
      </c>
      <c r="D22" s="11">
        <v>1</v>
      </c>
      <c r="E22" s="11">
        <v>1</v>
      </c>
      <c r="F22" s="11">
        <f t="shared" si="0"/>
        <v>100</v>
      </c>
      <c r="G22" s="11">
        <v>100</v>
      </c>
      <c r="H22" s="11"/>
      <c r="I22" s="11"/>
      <c r="J22" s="12" t="s">
        <v>34</v>
      </c>
    </row>
    <row r="23" spans="1:10" ht="24.9" customHeight="1" x14ac:dyDescent="0.3">
      <c r="A23" s="11">
        <v>12</v>
      </c>
      <c r="B23" s="12" t="s">
        <v>45</v>
      </c>
      <c r="C23" s="11" t="s">
        <v>11</v>
      </c>
      <c r="D23" s="11">
        <v>1</v>
      </c>
      <c r="E23" s="11">
        <v>1</v>
      </c>
      <c r="F23" s="11">
        <f t="shared" si="0"/>
        <v>100</v>
      </c>
      <c r="G23" s="11">
        <v>100</v>
      </c>
      <c r="H23" s="11"/>
      <c r="I23" s="11"/>
      <c r="J23" s="12" t="s">
        <v>34</v>
      </c>
    </row>
    <row r="24" spans="1:10" ht="24.9" customHeight="1" x14ac:dyDescent="0.3">
      <c r="A24" s="11">
        <v>13</v>
      </c>
      <c r="B24" s="12" t="s">
        <v>46</v>
      </c>
      <c r="C24" s="11" t="s">
        <v>11</v>
      </c>
      <c r="D24" s="11">
        <v>1</v>
      </c>
      <c r="E24" s="11">
        <v>1</v>
      </c>
      <c r="F24" s="11">
        <f t="shared" si="0"/>
        <v>100</v>
      </c>
      <c r="G24" s="11">
        <v>100</v>
      </c>
      <c r="H24" s="11"/>
      <c r="I24" s="11"/>
      <c r="J24" s="12" t="s">
        <v>34</v>
      </c>
    </row>
    <row r="25" spans="1:10" ht="24.9" customHeight="1" x14ac:dyDescent="0.3">
      <c r="A25" s="11">
        <v>14</v>
      </c>
      <c r="B25" s="12" t="s">
        <v>47</v>
      </c>
      <c r="C25" s="11" t="s">
        <v>11</v>
      </c>
      <c r="D25" s="11">
        <v>1</v>
      </c>
      <c r="E25" s="11">
        <v>1</v>
      </c>
      <c r="F25" s="11">
        <f t="shared" si="0"/>
        <v>100</v>
      </c>
      <c r="G25" s="11">
        <v>100</v>
      </c>
      <c r="H25" s="11"/>
      <c r="I25" s="11"/>
      <c r="J25" s="12" t="s">
        <v>34</v>
      </c>
    </row>
    <row r="26" spans="1:10" ht="24.9" customHeight="1" x14ac:dyDescent="0.3">
      <c r="A26" s="11">
        <v>15</v>
      </c>
      <c r="B26" s="12" t="s">
        <v>48</v>
      </c>
      <c r="C26" s="11" t="s">
        <v>11</v>
      </c>
      <c r="D26" s="11">
        <v>1</v>
      </c>
      <c r="E26" s="11">
        <v>1</v>
      </c>
      <c r="F26" s="11">
        <f t="shared" si="0"/>
        <v>100</v>
      </c>
      <c r="G26" s="11">
        <v>100</v>
      </c>
      <c r="H26" s="11"/>
      <c r="I26" s="11"/>
      <c r="J26" s="12" t="s">
        <v>34</v>
      </c>
    </row>
    <row r="27" spans="1:10" ht="24.9" customHeight="1" x14ac:dyDescent="0.3">
      <c r="A27" s="11">
        <v>16</v>
      </c>
      <c r="B27" s="12" t="s">
        <v>49</v>
      </c>
      <c r="C27" s="11" t="s">
        <v>11</v>
      </c>
      <c r="D27" s="11">
        <v>1</v>
      </c>
      <c r="E27" s="11">
        <v>1</v>
      </c>
      <c r="F27" s="11">
        <f t="shared" si="0"/>
        <v>100</v>
      </c>
      <c r="G27" s="11">
        <v>100</v>
      </c>
      <c r="H27" s="11"/>
      <c r="I27" s="11"/>
      <c r="J27" s="12" t="s">
        <v>50</v>
      </c>
    </row>
    <row r="28" spans="1:10" ht="24.9" customHeight="1" x14ac:dyDescent="0.3">
      <c r="A28" s="11">
        <v>17</v>
      </c>
      <c r="B28" s="12" t="s">
        <v>51</v>
      </c>
      <c r="C28" s="11" t="s">
        <v>11</v>
      </c>
      <c r="D28" s="11">
        <v>1</v>
      </c>
      <c r="E28" s="11">
        <v>1</v>
      </c>
      <c r="F28" s="11">
        <f t="shared" si="0"/>
        <v>100</v>
      </c>
      <c r="G28" s="11">
        <v>100</v>
      </c>
      <c r="H28" s="11"/>
      <c r="I28" s="11"/>
      <c r="J28" s="12" t="s">
        <v>50</v>
      </c>
    </row>
    <row r="29" spans="1:10" ht="24.9" customHeight="1" x14ac:dyDescent="0.3">
      <c r="A29" s="11">
        <v>18</v>
      </c>
      <c r="B29" s="12" t="s">
        <v>52</v>
      </c>
      <c r="C29" s="11" t="s">
        <v>11</v>
      </c>
      <c r="D29" s="11">
        <v>1</v>
      </c>
      <c r="E29" s="11">
        <v>1</v>
      </c>
      <c r="F29" s="11">
        <f t="shared" si="0"/>
        <v>100</v>
      </c>
      <c r="G29" s="11">
        <v>100</v>
      </c>
      <c r="H29" s="11"/>
      <c r="I29" s="11"/>
      <c r="J29" s="12" t="s">
        <v>50</v>
      </c>
    </row>
    <row r="30" spans="1:10" ht="24.9" customHeight="1" x14ac:dyDescent="0.3">
      <c r="A30" s="11">
        <v>19</v>
      </c>
      <c r="B30" s="12" t="s">
        <v>53</v>
      </c>
      <c r="C30" s="11" t="s">
        <v>11</v>
      </c>
      <c r="D30" s="11">
        <v>1</v>
      </c>
      <c r="E30" s="11">
        <v>1</v>
      </c>
      <c r="F30" s="11">
        <f t="shared" si="0"/>
        <v>100</v>
      </c>
      <c r="G30" s="11">
        <v>100</v>
      </c>
      <c r="H30" s="11"/>
      <c r="I30" s="11"/>
      <c r="J30" s="12" t="s">
        <v>50</v>
      </c>
    </row>
    <row r="31" spans="1:10" s="2" customFormat="1" ht="24.9" customHeight="1" x14ac:dyDescent="0.3">
      <c r="A31" s="11">
        <v>20</v>
      </c>
      <c r="B31" s="12" t="s">
        <v>54</v>
      </c>
      <c r="C31" s="11" t="s">
        <v>11</v>
      </c>
      <c r="D31" s="11">
        <v>1</v>
      </c>
      <c r="E31" s="11">
        <v>1</v>
      </c>
      <c r="F31" s="11">
        <f t="shared" si="0"/>
        <v>100</v>
      </c>
      <c r="G31" s="11">
        <v>100</v>
      </c>
      <c r="H31" s="11"/>
      <c r="I31" s="11"/>
      <c r="J31" s="12" t="s">
        <v>55</v>
      </c>
    </row>
    <row r="32" spans="1:10" s="2" customFormat="1" ht="24.9" customHeight="1" x14ac:dyDescent="0.3">
      <c r="A32" s="11">
        <v>21</v>
      </c>
      <c r="B32" s="12" t="s">
        <v>56</v>
      </c>
      <c r="C32" s="11" t="s">
        <v>11</v>
      </c>
      <c r="D32" s="11">
        <v>1</v>
      </c>
      <c r="E32" s="11">
        <v>1</v>
      </c>
      <c r="F32" s="11">
        <f t="shared" si="0"/>
        <v>100</v>
      </c>
      <c r="G32" s="11">
        <v>100</v>
      </c>
      <c r="H32" s="11"/>
      <c r="I32" s="11"/>
      <c r="J32" s="12" t="s">
        <v>55</v>
      </c>
    </row>
    <row r="33" spans="1:10" s="2" customFormat="1" ht="24.9" customHeight="1" x14ac:dyDescent="0.3">
      <c r="A33" s="11">
        <v>22</v>
      </c>
      <c r="B33" s="12" t="s">
        <v>57</v>
      </c>
      <c r="C33" s="11" t="s">
        <v>11</v>
      </c>
      <c r="D33" s="11">
        <v>1</v>
      </c>
      <c r="E33" s="11">
        <v>1</v>
      </c>
      <c r="F33" s="11">
        <f t="shared" si="0"/>
        <v>100</v>
      </c>
      <c r="G33" s="11">
        <v>100</v>
      </c>
      <c r="H33" s="11"/>
      <c r="I33" s="11"/>
      <c r="J33" s="12" t="s">
        <v>55</v>
      </c>
    </row>
    <row r="34" spans="1:10" s="2" customFormat="1" ht="24.9" customHeight="1" x14ac:dyDescent="0.3">
      <c r="A34" s="11">
        <v>23</v>
      </c>
      <c r="B34" s="12" t="s">
        <v>58</v>
      </c>
      <c r="C34" s="11" t="s">
        <v>59</v>
      </c>
      <c r="D34" s="11">
        <v>1</v>
      </c>
      <c r="E34" s="11">
        <v>1</v>
      </c>
      <c r="F34" s="11">
        <f t="shared" si="0"/>
        <v>100</v>
      </c>
      <c r="G34" s="11">
        <v>100</v>
      </c>
      <c r="H34" s="11"/>
      <c r="I34" s="11"/>
      <c r="J34" s="12" t="s">
        <v>55</v>
      </c>
    </row>
    <row r="35" spans="1:10" s="2" customFormat="1" ht="24.9" customHeight="1" x14ac:dyDescent="0.3">
      <c r="A35" s="11">
        <v>24</v>
      </c>
      <c r="B35" s="12" t="s">
        <v>60</v>
      </c>
      <c r="C35" s="11" t="s">
        <v>11</v>
      </c>
      <c r="D35" s="11">
        <v>1</v>
      </c>
      <c r="E35" s="11">
        <v>1</v>
      </c>
      <c r="F35" s="11">
        <f t="shared" si="0"/>
        <v>100</v>
      </c>
      <c r="G35" s="11">
        <v>100</v>
      </c>
      <c r="H35" s="11"/>
      <c r="I35" s="11"/>
      <c r="J35" s="12" t="s">
        <v>55</v>
      </c>
    </row>
    <row r="36" spans="1:10" s="3" customFormat="1" ht="24.9" customHeight="1" x14ac:dyDescent="0.3">
      <c r="A36" s="11">
        <v>25</v>
      </c>
      <c r="B36" s="12" t="s">
        <v>61</v>
      </c>
      <c r="C36" s="11" t="s">
        <v>11</v>
      </c>
      <c r="D36" s="11">
        <v>1</v>
      </c>
      <c r="E36" s="11">
        <v>1</v>
      </c>
      <c r="F36" s="11">
        <f t="shared" si="0"/>
        <v>100</v>
      </c>
      <c r="G36" s="11">
        <v>100</v>
      </c>
      <c r="H36" s="11"/>
      <c r="I36" s="11"/>
      <c r="J36" s="12" t="s">
        <v>55</v>
      </c>
    </row>
    <row r="37" spans="1:10" s="2" customFormat="1" ht="24.9" customHeight="1" x14ac:dyDescent="0.3">
      <c r="A37" s="11">
        <v>26</v>
      </c>
      <c r="B37" s="12" t="s">
        <v>62</v>
      </c>
      <c r="C37" s="11" t="s">
        <v>59</v>
      </c>
      <c r="D37" s="11">
        <v>2</v>
      </c>
      <c r="E37" s="11">
        <v>2</v>
      </c>
      <c r="F37" s="11">
        <f t="shared" si="0"/>
        <v>100</v>
      </c>
      <c r="G37" s="11">
        <v>100</v>
      </c>
      <c r="H37" s="11"/>
      <c r="I37" s="11"/>
      <c r="J37" s="12" t="s">
        <v>55</v>
      </c>
    </row>
    <row r="38" spans="1:10" s="2" customFormat="1" ht="24.9" customHeight="1" x14ac:dyDescent="0.3">
      <c r="A38" s="11">
        <v>27</v>
      </c>
      <c r="B38" s="12" t="s">
        <v>63</v>
      </c>
      <c r="C38" s="11" t="s">
        <v>64</v>
      </c>
      <c r="D38" s="11">
        <v>2</v>
      </c>
      <c r="E38" s="11">
        <v>2</v>
      </c>
      <c r="F38" s="11">
        <f t="shared" si="0"/>
        <v>100</v>
      </c>
      <c r="G38" s="11">
        <v>100</v>
      </c>
      <c r="H38" s="11"/>
      <c r="I38" s="11"/>
      <c r="J38" s="12" t="s">
        <v>55</v>
      </c>
    </row>
    <row r="39" spans="1:10" ht="24.9" customHeight="1" x14ac:dyDescent="0.3">
      <c r="A39" s="11">
        <v>28</v>
      </c>
      <c r="B39" s="12" t="s">
        <v>65</v>
      </c>
      <c r="C39" s="11" t="s">
        <v>64</v>
      </c>
      <c r="D39" s="11">
        <v>2</v>
      </c>
      <c r="E39" s="11">
        <v>2</v>
      </c>
      <c r="F39" s="11">
        <f t="shared" si="0"/>
        <v>100</v>
      </c>
      <c r="G39" s="11">
        <v>100</v>
      </c>
      <c r="H39" s="11"/>
      <c r="I39" s="11"/>
      <c r="J39" s="12" t="s">
        <v>55</v>
      </c>
    </row>
    <row r="40" spans="1:10" ht="24.9" customHeight="1" x14ac:dyDescent="0.3">
      <c r="A40" s="11">
        <v>29</v>
      </c>
      <c r="B40" s="12" t="s">
        <v>66</v>
      </c>
      <c r="C40" s="11" t="s">
        <v>11</v>
      </c>
      <c r="D40" s="11">
        <v>27</v>
      </c>
      <c r="E40" s="11">
        <v>27</v>
      </c>
      <c r="F40" s="11">
        <f t="shared" si="0"/>
        <v>100</v>
      </c>
      <c r="G40" s="11">
        <v>100</v>
      </c>
      <c r="H40" s="11"/>
      <c r="I40" s="11"/>
      <c r="J40" s="12" t="s">
        <v>55</v>
      </c>
    </row>
    <row r="41" spans="1:10" ht="24.9" customHeight="1" x14ac:dyDescent="0.3">
      <c r="A41" s="11">
        <v>30</v>
      </c>
      <c r="B41" s="12" t="s">
        <v>67</v>
      </c>
      <c r="C41" s="11" t="s">
        <v>11</v>
      </c>
      <c r="D41" s="11">
        <v>1</v>
      </c>
      <c r="E41" s="11">
        <v>1</v>
      </c>
      <c r="F41" s="11">
        <f t="shared" si="0"/>
        <v>100</v>
      </c>
      <c r="G41" s="11">
        <v>100</v>
      </c>
      <c r="H41" s="11"/>
      <c r="I41" s="11"/>
      <c r="J41" s="12" t="s">
        <v>55</v>
      </c>
    </row>
    <row r="42" spans="1:10" ht="24.9" customHeight="1" x14ac:dyDescent="0.3">
      <c r="A42" s="11">
        <v>31</v>
      </c>
      <c r="B42" s="12" t="s">
        <v>68</v>
      </c>
      <c r="C42" s="11" t="s">
        <v>11</v>
      </c>
      <c r="D42" s="11">
        <v>1</v>
      </c>
      <c r="E42" s="11">
        <v>1</v>
      </c>
      <c r="F42" s="11">
        <f t="shared" si="0"/>
        <v>100</v>
      </c>
      <c r="G42" s="11">
        <v>100</v>
      </c>
      <c r="H42" s="11"/>
      <c r="I42" s="11"/>
      <c r="J42" s="12" t="s">
        <v>69</v>
      </c>
    </row>
    <row r="43" spans="1:10" ht="24.9" customHeight="1" x14ac:dyDescent="0.3">
      <c r="A43" s="11">
        <v>32</v>
      </c>
      <c r="B43" s="12" t="s">
        <v>70</v>
      </c>
      <c r="C43" s="11" t="s">
        <v>71</v>
      </c>
      <c r="D43" s="11">
        <v>1</v>
      </c>
      <c r="E43" s="11">
        <v>1</v>
      </c>
      <c r="F43" s="11">
        <f t="shared" si="0"/>
        <v>100</v>
      </c>
      <c r="G43" s="11">
        <v>100</v>
      </c>
      <c r="H43" s="11"/>
      <c r="I43" s="11"/>
      <c r="J43" s="12" t="s">
        <v>69</v>
      </c>
    </row>
    <row r="44" spans="1:10" ht="24.9" customHeight="1" x14ac:dyDescent="0.3">
      <c r="A44" s="11">
        <v>33</v>
      </c>
      <c r="B44" s="12" t="s">
        <v>72</v>
      </c>
      <c r="C44" s="11" t="s">
        <v>11</v>
      </c>
      <c r="D44" s="11">
        <v>1</v>
      </c>
      <c r="E44" s="11">
        <v>1</v>
      </c>
      <c r="F44" s="11">
        <f t="shared" si="0"/>
        <v>100</v>
      </c>
      <c r="G44" s="11">
        <v>100</v>
      </c>
      <c r="H44" s="11"/>
      <c r="I44" s="11"/>
      <c r="J44" s="12" t="s">
        <v>73</v>
      </c>
    </row>
    <row r="45" spans="1:10" ht="24.9" customHeight="1" x14ac:dyDescent="0.3">
      <c r="A45" s="11">
        <v>34</v>
      </c>
      <c r="B45" s="12" t="s">
        <v>74</v>
      </c>
      <c r="C45" s="11" t="s">
        <v>75</v>
      </c>
      <c r="D45" s="11">
        <v>1</v>
      </c>
      <c r="E45" s="11">
        <v>1</v>
      </c>
      <c r="F45" s="11">
        <f t="shared" si="0"/>
        <v>100</v>
      </c>
      <c r="G45" s="11">
        <v>100</v>
      </c>
      <c r="H45" s="11"/>
      <c r="I45" s="11"/>
      <c r="J45" s="12" t="s">
        <v>73</v>
      </c>
    </row>
    <row r="46" spans="1:10" ht="24.9" customHeight="1" x14ac:dyDescent="0.3">
      <c r="A46" s="11">
        <v>35</v>
      </c>
      <c r="B46" s="12" t="s">
        <v>76</v>
      </c>
      <c r="C46" s="11" t="s">
        <v>11</v>
      </c>
      <c r="D46" s="11">
        <v>3</v>
      </c>
      <c r="E46" s="11">
        <v>3</v>
      </c>
      <c r="F46" s="11">
        <f t="shared" si="0"/>
        <v>100</v>
      </c>
      <c r="G46" s="11">
        <v>100</v>
      </c>
      <c r="H46" s="11"/>
      <c r="I46" s="11"/>
      <c r="J46" s="12" t="s">
        <v>73</v>
      </c>
    </row>
    <row r="47" spans="1:10" ht="24.9" customHeight="1" x14ac:dyDescent="0.3">
      <c r="A47" s="11">
        <v>36</v>
      </c>
      <c r="B47" s="12" t="s">
        <v>77</v>
      </c>
      <c r="C47" s="11" t="s">
        <v>11</v>
      </c>
      <c r="D47" s="11">
        <v>1</v>
      </c>
      <c r="E47" s="11">
        <v>1</v>
      </c>
      <c r="F47" s="11">
        <f t="shared" si="0"/>
        <v>100</v>
      </c>
      <c r="G47" s="11">
        <v>100</v>
      </c>
      <c r="H47" s="11"/>
      <c r="I47" s="11"/>
      <c r="J47" s="12" t="s">
        <v>73</v>
      </c>
    </row>
    <row r="48" spans="1:10" ht="24.9" customHeight="1" x14ac:dyDescent="0.3">
      <c r="A48" s="17" t="s">
        <v>78</v>
      </c>
      <c r="B48" s="18"/>
      <c r="C48" s="18"/>
      <c r="D48" s="18"/>
      <c r="E48" s="18"/>
      <c r="F48" s="18"/>
      <c r="G48" s="18"/>
      <c r="H48" s="19"/>
      <c r="I48" s="11"/>
      <c r="J48" s="11"/>
    </row>
    <row r="49" spans="1:10" ht="24.9" customHeight="1" x14ac:dyDescent="0.3">
      <c r="A49" s="17" t="s">
        <v>79</v>
      </c>
      <c r="B49" s="18"/>
      <c r="C49" s="18"/>
      <c r="D49" s="18"/>
      <c r="E49" s="19"/>
      <c r="F49" s="11">
        <f>AVERAGE(F12:F47)</f>
        <v>100</v>
      </c>
      <c r="G49" s="11"/>
      <c r="H49" s="11"/>
      <c r="I49" s="11"/>
      <c r="J49" s="11"/>
    </row>
    <row r="50" spans="1:10" ht="24.9" customHeight="1" x14ac:dyDescent="0.3">
      <c r="A50" s="17" t="s">
        <v>80</v>
      </c>
      <c r="B50" s="18"/>
      <c r="C50" s="18"/>
      <c r="D50" s="18"/>
      <c r="E50" s="19"/>
      <c r="F50" s="11"/>
      <c r="G50" s="11"/>
      <c r="H50" s="11"/>
      <c r="I50" s="11"/>
      <c r="J50" s="11"/>
    </row>
    <row r="52" spans="1:10" ht="24.9" customHeight="1" x14ac:dyDescent="0.3">
      <c r="I52" s="23" t="s">
        <v>81</v>
      </c>
      <c r="J52" s="24"/>
    </row>
    <row r="53" spans="1:10" x14ac:dyDescent="0.3">
      <c r="B53" s="13" t="s">
        <v>82</v>
      </c>
      <c r="I53" s="13" t="s">
        <v>83</v>
      </c>
    </row>
    <row r="57" spans="1:10" x14ac:dyDescent="0.3">
      <c r="B57" s="14" t="s">
        <v>84</v>
      </c>
      <c r="I57" s="26" t="s">
        <v>85</v>
      </c>
      <c r="J57" s="26"/>
    </row>
    <row r="58" spans="1:10" ht="39" customHeight="1" x14ac:dyDescent="0.3">
      <c r="B58" s="14"/>
      <c r="I58" s="14"/>
    </row>
    <row r="59" spans="1:10" x14ac:dyDescent="0.3">
      <c r="B59" s="13" t="s">
        <v>86</v>
      </c>
      <c r="I59" s="23" t="s">
        <v>87</v>
      </c>
      <c r="J59" s="23"/>
    </row>
  </sheetData>
  <mergeCells count="15">
    <mergeCell ref="I52:J52"/>
    <mergeCell ref="A2:J2"/>
    <mergeCell ref="I57:J57"/>
    <mergeCell ref="I59:J59"/>
    <mergeCell ref="I9:I10"/>
    <mergeCell ref="A9:A10"/>
    <mergeCell ref="J9:J10"/>
    <mergeCell ref="A49:E49"/>
    <mergeCell ref="D9:F9"/>
    <mergeCell ref="C9:C10"/>
    <mergeCell ref="B9:B10"/>
    <mergeCell ref="A48:H48"/>
    <mergeCell ref="G9:G10"/>
    <mergeCell ref="A50:E50"/>
    <mergeCell ref="H9:H10"/>
  </mergeCells>
  <pageMargins left="0.70866141732283472" right="0.70866141732283472" top="0.74803149606299213" bottom="0.74803149606299213" header="0.31496062992125978" footer="0.31496062992125978"/>
  <pageSetup paperSize="9" scale="6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2026-03-03T00:28:59Z</cp:lastPrinted>
  <dcterms:created xsi:type="dcterms:W3CDTF">2017-04-12T21:43:57Z</dcterms:created>
  <dcterms:modified xsi:type="dcterms:W3CDTF">2026-05-04T01:32:21Z</dcterms:modified>
</cp:coreProperties>
</file>